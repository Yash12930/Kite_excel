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9544DDD8-C5BC-4E00-BF1B-43DFAC332302}" xr6:coauthVersionLast="47" xr6:coauthVersionMax="47" xr10:uidLastSave="{00000000-0000-0000-0000-000000000000}"/>
  <bookViews>
    <workbookView xWindow="-110" yWindow="-110" windowWidth="19420" windowHeight="10300" activeTab="3" xr2:uid="{17A3D556-7A8E-4DF3-B626-DE2215AD494C}"/>
  </bookViews>
  <sheets>
    <sheet name="Setting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<sst xmlns="http://schemas.openxmlformats.org/spreadsheetml/2006/main" count="234" uniqueCount="120">
  <si>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</si>
  <si>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</si>
  <si>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</si>
  <si>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</si>
  <si>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</si>
  <si>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</si>
  <si>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</si>
  <si>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</si>
  <si>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</si>
  <si>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</si>
  <si>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</si>
  <si>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</si>
  <si>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</si>
  <si>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</si>
  <si>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</si>
  <si>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</si>
  <si>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</si>
  <si>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</si>
  <si>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</si>
  <si>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</si>
  <si>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</si>
  <si>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</si>
  <si>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</si>
  <si>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</si>
  <si>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</si>
  <si>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</si>
  <si>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</si>
  <si>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</si>
  <si>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</si>
  <si>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BFO</t>
  </si>
  <si>
    <t>BANKNIFTY25MAY59500CE</t>
  </si>
  <si>
    <t>NFO</t>
  </si>
  <si>
    <t>Status</t>
  </si>
  <si>
    <t>ISIN</t>
  </si>
  <si>
    <t>T1 Qty</t>
  </si>
  <si>
    <t>Close Price</t>
  </si>
  <si>
    <t>Day Change</t>
  </si>
  <si>
    <t>Day Change %</t>
  </si>
  <si>
    <t>NSE</t>
  </si>
  <si>
    <t>IN0020230010</t>
  </si>
  <si>
    <t>IN0020220011</t>
  </si>
  <si>
    <t>IN0020210053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</si>
  <si>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</si>
  <si>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</si>
  <si>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</si>
  <si>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</si>
  <si>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</si>
  <si>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</si>
  <si>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</si>
  <si>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</si>
  <si>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regular</t>
  </si>
  <si>
    <t>COMPLETE</t>
  </si>
  <si>
    <t>LIMIT</t>
  </si>
  <si>
    <t>NRML</t>
  </si>
  <si>
    <t>SELL</t>
  </si>
  <si>
    <t>710GS2029-GS</t>
  </si>
  <si>
    <t>New Price</t>
  </si>
  <si>
    <t>New Trigger</t>
  </si>
  <si>
    <t>Play/Pause</t>
  </si>
  <si>
    <t>Portfolio Qty</t>
  </si>
  <si>
    <t>Avg Price</t>
  </si>
  <si>
    <t>Best Ask</t>
  </si>
  <si>
    <t>Prev Close</t>
  </si>
  <si>
    <t>Entry Status</t>
  </si>
  <si>
    <t>no</t>
  </si>
  <si>
    <t>Available Margin</t>
  </si>
  <si>
    <t>Used Margin</t>
  </si>
  <si>
    <t>Available Cash</t>
  </si>
  <si>
    <t>NIFTY25MAY26000CE</t>
  </si>
  <si>
    <t>SENSEX25MAY76500PE</t>
  </si>
  <si>
    <t>SENSEX25MAY77500PE</t>
  </si>
  <si>
    <t>BSE</t>
  </si>
  <si>
    <t>SENSEX25MAY84500CE</t>
  </si>
  <si>
    <t>BUY</t>
  </si>
  <si>
    <t>GOLDBEES</t>
  </si>
  <si>
    <t>CNC</t>
  </si>
  <si>
    <t>NSE:710GS2029-GS</t>
  </si>
  <si>
    <t>BFO:SENSEX25MAY84500CE</t>
  </si>
  <si>
    <t>NFO:NIFTY25MAY26000CE</t>
  </si>
  <si>
    <t>NSE:GOLDBEES</t>
  </si>
  <si>
    <t>OPEN</t>
  </si>
  <si>
    <t>New Qty</t>
  </si>
  <si>
    <t>New Prod</t>
  </si>
  <si>
    <t>New Valid</t>
  </si>
  <si>
    <t>New Var</t>
  </si>
  <si>
    <t>New Discl Qty</t>
  </si>
  <si>
    <t>Parent Order ID</t>
  </si>
  <si>
    <t>SENSEX25MAY78500PE</t>
  </si>
  <si>
    <t>New Order Type</t>
  </si>
  <si>
    <t>BSE:706GS2028</t>
  </si>
  <si>
    <t>BSE:GOLDBEES</t>
  </si>
  <si>
    <t>NSE:SGBMAY29I-GB</t>
  </si>
  <si>
    <t>BFO:SENSEX25MAY79500PE</t>
  </si>
  <si>
    <t>BFO:SENSEX25MAY80000PE</t>
  </si>
  <si>
    <t>NFO:NIFTY25MAY23500PE</t>
  </si>
  <si>
    <t>SENSEX25MAY79500PE</t>
  </si>
  <si>
    <t>SENSEX25MAY80000PE</t>
  </si>
  <si>
    <t>NIFTY25MAY23500PE</t>
  </si>
  <si>
    <t>706GS2028</t>
  </si>
  <si>
    <t>INF204KB17I5</t>
  </si>
  <si>
    <t>SGBMAY29I-GB</t>
  </si>
  <si>
    <t>250526000121573</t>
  </si>
  <si>
    <t>SENSEX25MAY84000CE</t>
  </si>
  <si>
    <t>250526000120478</t>
  </si>
  <si>
    <t>250526000131930</t>
  </si>
  <si>
    <t>250526000133126</t>
  </si>
  <si>
    <t>250526000151940</t>
  </si>
  <si>
    <t>250526000152898</t>
  </si>
  <si>
    <t>250526000317349</t>
  </si>
  <si>
    <t>250526000399340</t>
  </si>
  <si>
    <t>250526000464560</t>
  </si>
  <si>
    <t>250526000465692</t>
  </si>
  <si>
    <t>250526000467628</t>
  </si>
  <si>
    <t>250526000468603</t>
  </si>
  <si>
    <t>250526000593049</t>
  </si>
  <si>
    <t>250526000714114</t>
  </si>
  <si>
    <t>CANCELLED</t>
  </si>
  <si>
    <t>250526000875187</t>
  </si>
  <si>
    <t>Last Updated: 2025-05-26 11:35:18</t>
  </si>
  <si>
    <t>Last Updated: 2025-05-26 11:35:19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</si>
</sst>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533400</xdr:colOff>
          <xdr:row>22</xdr:row>
          <xdr:rowOff>95250</xdr:rowOff>
        </xdr:from>
        <xdr:to>
          <xdr:col>23</xdr:col>
          <xdr:colOff>107950</xdr:colOff>
          <xdr:row>24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527050</xdr:colOff>
          <xdr:row>24</xdr:row>
          <xdr:rowOff>76200</xdr:rowOff>
        </xdr:from>
        <xdr:to>
          <xdr:col>23</xdr:col>
          <xdr:colOff>69850</xdr:colOff>
          <xdr:row>26</xdr:row>
          <xdr:rowOff>25400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1</xdr:row>
          <xdr:rowOff>120650</xdr:rowOff>
        </xdr:from>
        <xdr:to>
          <xdr:col>27</xdr:col>
          <xdr:colOff>431800</xdr:colOff>
          <xdr:row>4</xdr:row>
          <xdr:rowOff>88900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82550</xdr:colOff>
          <xdr:row>4</xdr:row>
          <xdr:rowOff>177800</xdr:rowOff>
        </xdr:from>
        <xdr:to>
          <xdr:col>27</xdr:col>
          <xdr:colOff>457200</xdr:colOff>
          <xdr:row>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Manual push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C6"/>
  <sheetViews>
    <sheetView workbookViewId="0">
      <selection activeCell="F9" sqref="F9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3" x14ac:dyDescent="0.35">
      <c r="A1" s="1" t="s">
        <v>58</v>
      </c>
      <c r="B1" s="1" t="s">
        <v>64</v>
      </c>
      <c r="C1" t="s">
        <v>119</v>
      </c>
    </row>
    <row r="4" spans="1:3" x14ac:dyDescent="0.35">
      <c r="A4" t="s">
        <v>65</v>
      </c>
      <c r="B4">
        <v>1982345.7599999988</v>
      </c>
    </row>
    <row r="5" spans="1:3" x14ac:dyDescent="0.35">
      <c r="A5" t="s">
        <v>66</v>
      </c>
      <c r="B5">
        <v>5258325.9400000004</v>
      </c>
    </row>
    <row r="6" spans="1:3" x14ac:dyDescent="0.35">
      <c r="A6" t="s">
        <v>67</v>
      </c>
      <c r="B6">
        <v>411733.6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K7"/>
  <sheetViews>
    <sheetView workbookViewId="0">
      <selection activeCell="D18" sqref="D18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11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K1" t="s">
        <v>118</v>
      </c>
    </row>
    <row r="2" spans="1:11" x14ac:dyDescent="0.35">
      <c r="A2">
        <v>224020229</v>
      </c>
      <c r="B2" t="s">
        <v>95</v>
      </c>
      <c r="C2" t="s">
        <v>29</v>
      </c>
      <c r="D2">
        <v>-300</v>
      </c>
      <c r="E2">
        <v>18.716666666666669</v>
      </c>
      <c r="F2">
        <v>18</v>
      </c>
      <c r="G2">
        <v>215.00000000000057</v>
      </c>
      <c r="I2">
        <v>1655.0000000000009</v>
      </c>
    </row>
    <row r="3" spans="1:11" x14ac:dyDescent="0.35">
      <c r="A3">
        <v>227218181</v>
      </c>
      <c r="B3" t="s">
        <v>96</v>
      </c>
      <c r="C3" t="s">
        <v>29</v>
      </c>
      <c r="D3">
        <v>-100</v>
      </c>
      <c r="E3">
        <v>20.149999999999999</v>
      </c>
      <c r="F3">
        <v>40.950000000000003</v>
      </c>
      <c r="G3">
        <v>-2080.0000000000005</v>
      </c>
      <c r="I3">
        <v>-915.00000000000023</v>
      </c>
    </row>
    <row r="4" spans="1:11" x14ac:dyDescent="0.35">
      <c r="A4">
        <v>288502021</v>
      </c>
      <c r="B4" t="s">
        <v>72</v>
      </c>
      <c r="C4" t="s">
        <v>29</v>
      </c>
      <c r="D4">
        <v>-500</v>
      </c>
      <c r="E4">
        <v>13.75</v>
      </c>
      <c r="F4">
        <v>12.25</v>
      </c>
      <c r="G4">
        <v>750</v>
      </c>
      <c r="I4">
        <v>-1235</v>
      </c>
    </row>
    <row r="5" spans="1:11" x14ac:dyDescent="0.35">
      <c r="A5">
        <v>15755778</v>
      </c>
      <c r="B5" t="s">
        <v>97</v>
      </c>
      <c r="C5" t="s">
        <v>31</v>
      </c>
      <c r="D5">
        <v>-600</v>
      </c>
      <c r="E5">
        <v>3.9</v>
      </c>
      <c r="F5">
        <v>4.6500000000000004</v>
      </c>
      <c r="G5">
        <v>-450.00000000000028</v>
      </c>
      <c r="I5">
        <v>-180</v>
      </c>
    </row>
    <row r="6" spans="1:11" x14ac:dyDescent="0.35">
      <c r="A6">
        <v>15821058</v>
      </c>
      <c r="B6" t="s">
        <v>68</v>
      </c>
      <c r="C6" t="s">
        <v>31</v>
      </c>
      <c r="D6">
        <v>-600</v>
      </c>
      <c r="E6">
        <v>3.9750000000000001</v>
      </c>
      <c r="F6">
        <v>5.15</v>
      </c>
      <c r="G6">
        <v>-705.00000000000011</v>
      </c>
      <c r="I6">
        <v>-1440</v>
      </c>
    </row>
    <row r="7" spans="1:11" x14ac:dyDescent="0.35">
      <c r="A7">
        <v>3693569</v>
      </c>
      <c r="B7" t="s">
        <v>74</v>
      </c>
      <c r="C7" t="s">
        <v>38</v>
      </c>
      <c r="D7">
        <v>10</v>
      </c>
      <c r="E7">
        <v>79.75</v>
      </c>
      <c r="F7">
        <v>79.69</v>
      </c>
      <c r="G7">
        <v>-0.60000000000002274</v>
      </c>
      <c r="I7">
        <v>-0.40000000000009095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L5"/>
  <sheetViews>
    <sheetView workbookViewId="0">
      <selection activeCell="A4" sqref="A4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2" x14ac:dyDescent="0.35">
      <c r="A1" s="1" t="s">
        <v>21</v>
      </c>
      <c r="B1" s="1" t="s">
        <v>22</v>
      </c>
      <c r="C1" s="1" t="s">
        <v>33</v>
      </c>
      <c r="D1" s="1" t="s">
        <v>23</v>
      </c>
      <c r="E1" s="1" t="s">
        <v>34</v>
      </c>
      <c r="F1" s="1" t="s">
        <v>24</v>
      </c>
      <c r="G1" s="1" t="s">
        <v>42</v>
      </c>
      <c r="H1" s="1" t="s">
        <v>35</v>
      </c>
      <c r="I1" s="1" t="s">
        <v>10</v>
      </c>
      <c r="J1" s="1" t="s">
        <v>36</v>
      </c>
      <c r="K1" s="1" t="s">
        <v>37</v>
      </c>
      <c r="L1" t="s">
        <v>118</v>
      </c>
    </row>
    <row r="2" spans="1:12" x14ac:dyDescent="0.35">
      <c r="A2" t="s">
        <v>98</v>
      </c>
      <c r="B2" t="s">
        <v>71</v>
      </c>
      <c r="C2" t="s">
        <v>39</v>
      </c>
      <c r="D2">
        <v>0</v>
      </c>
      <c r="E2">
        <v>0</v>
      </c>
      <c r="F2">
        <v>100.15</v>
      </c>
      <c r="G2">
        <v>103.65</v>
      </c>
      <c r="H2">
        <v>103.65</v>
      </c>
      <c r="I2">
        <v>10500</v>
      </c>
      <c r="J2">
        <v>0</v>
      </c>
      <c r="K2">
        <v>0</v>
      </c>
    </row>
    <row r="3" spans="1:12" x14ac:dyDescent="0.35">
      <c r="A3" t="s">
        <v>55</v>
      </c>
      <c r="B3" t="s">
        <v>38</v>
      </c>
      <c r="C3" t="s">
        <v>40</v>
      </c>
      <c r="D3">
        <v>0</v>
      </c>
      <c r="E3">
        <v>0</v>
      </c>
      <c r="F3">
        <v>101.9</v>
      </c>
      <c r="G3">
        <v>104.2</v>
      </c>
      <c r="H3">
        <v>104.5</v>
      </c>
      <c r="I3">
        <v>16099.99999999998</v>
      </c>
      <c r="J3">
        <v>-0.29999999999999716</v>
      </c>
      <c r="K3">
        <v>-0.28708133971291594</v>
      </c>
    </row>
    <row r="4" spans="1:12" x14ac:dyDescent="0.35">
      <c r="A4" t="s">
        <v>74</v>
      </c>
      <c r="B4" t="s">
        <v>71</v>
      </c>
      <c r="C4" t="s">
        <v>99</v>
      </c>
      <c r="D4">
        <v>0</v>
      </c>
      <c r="E4">
        <v>10</v>
      </c>
      <c r="F4">
        <v>79.819999999999993</v>
      </c>
      <c r="G4">
        <v>79.7</v>
      </c>
      <c r="H4">
        <v>79.540000000000006</v>
      </c>
      <c r="I4">
        <v>-0.899999999999892</v>
      </c>
      <c r="J4">
        <v>0.18999999999999773</v>
      </c>
      <c r="K4">
        <v>0.23887352275584325</v>
      </c>
    </row>
    <row r="5" spans="1:12" x14ac:dyDescent="0.35">
      <c r="A5" t="s">
        <v>100</v>
      </c>
      <c r="B5" t="s">
        <v>38</v>
      </c>
      <c r="C5" t="s">
        <v>41</v>
      </c>
      <c r="D5">
        <v>0</v>
      </c>
      <c r="E5">
        <v>0</v>
      </c>
      <c r="F5">
        <v>6122.4871419999999</v>
      </c>
      <c r="G5">
        <v>9380</v>
      </c>
      <c r="H5">
        <v>9350.3700000000008</v>
      </c>
      <c r="I5">
        <v>2276759.0005999999</v>
      </c>
      <c r="J5">
        <v>24.6299999999992</v>
      </c>
      <c r="K5">
        <v>0.26341203610123659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AA35"/>
  <sheetViews>
    <sheetView tabSelected="1" topLeftCell="H1" zoomScale="85" zoomScaleNormal="85" workbookViewId="0">
      <selection activeCell="Q7" sqref="Q7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9" max="19" width="9.6328125" bestFit="1" customWidth="1"/>
    <col min="20" max="20" width="10.7265625" bestFit="1" customWidth="1"/>
    <col min="22" max="22" width="7.7265625" customWidth="1"/>
    <col min="23" max="23" width="9.26953125" bestFit="1" customWidth="1"/>
    <col min="24" max="24" width="9.6328125" bestFit="1" customWidth="1"/>
    <col min="26" max="26" width="12.26953125" bestFit="1" customWidth="1"/>
  </cols>
  <sheetData>
    <row r="1" spans="1:27" x14ac:dyDescent="0.35">
      <c r="A1" s="4" t="s">
        <v>43</v>
      </c>
      <c r="B1" s="1" t="s">
        <v>12</v>
      </c>
      <c r="C1" s="1" t="s">
        <v>32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44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45</v>
      </c>
      <c r="N1" s="1" t="s">
        <v>46</v>
      </c>
      <c r="O1" s="1" t="s">
        <v>47</v>
      </c>
      <c r="P1" s="1" t="s">
        <v>86</v>
      </c>
      <c r="Q1" s="1" t="s">
        <v>48</v>
      </c>
      <c r="R1" s="1" t="s">
        <v>49</v>
      </c>
      <c r="S1" s="1" t="s">
        <v>56</v>
      </c>
      <c r="T1" s="1" t="s">
        <v>57</v>
      </c>
      <c r="U1" s="1" t="s">
        <v>81</v>
      </c>
      <c r="V1" s="1" t="s">
        <v>88</v>
      </c>
      <c r="W1" s="1" t="s">
        <v>82</v>
      </c>
      <c r="X1" s="1" t="s">
        <v>83</v>
      </c>
      <c r="Y1" s="1" t="s">
        <v>84</v>
      </c>
      <c r="Z1" s="1" t="s">
        <v>85</v>
      </c>
      <c r="AA1" t="s">
        <v>119</v>
      </c>
    </row>
    <row r="2" spans="1:27" x14ac:dyDescent="0.35">
      <c r="A2" s="5" t="s">
        <v>101</v>
      </c>
      <c r="B2" t="s">
        <v>50</v>
      </c>
      <c r="C2" t="s">
        <v>51</v>
      </c>
      <c r="D2" t="s">
        <v>102</v>
      </c>
      <c r="E2" t="s">
        <v>29</v>
      </c>
      <c r="F2" t="s">
        <v>52</v>
      </c>
      <c r="G2" t="s">
        <v>53</v>
      </c>
      <c r="H2" t="s">
        <v>73</v>
      </c>
      <c r="I2">
        <v>200</v>
      </c>
      <c r="J2">
        <v>43.8</v>
      </c>
      <c r="K2">
        <v>0</v>
      </c>
      <c r="L2">
        <v>43.8</v>
      </c>
      <c r="M2">
        <v>0</v>
      </c>
      <c r="N2">
        <v>200</v>
      </c>
      <c r="O2" s="2">
        <v>45803.388171296298</v>
      </c>
    </row>
    <row r="3" spans="1:27" x14ac:dyDescent="0.35">
      <c r="A3" s="5" t="s">
        <v>103</v>
      </c>
      <c r="B3" t="s">
        <v>50</v>
      </c>
      <c r="C3" t="s">
        <v>51</v>
      </c>
      <c r="D3" t="s">
        <v>95</v>
      </c>
      <c r="E3" t="s">
        <v>29</v>
      </c>
      <c r="F3" t="s">
        <v>52</v>
      </c>
      <c r="G3" t="s">
        <v>53</v>
      </c>
      <c r="H3" t="s">
        <v>54</v>
      </c>
      <c r="I3">
        <v>200</v>
      </c>
      <c r="J3">
        <v>19</v>
      </c>
      <c r="K3">
        <v>0</v>
      </c>
      <c r="L3">
        <v>19</v>
      </c>
      <c r="M3">
        <v>0</v>
      </c>
      <c r="N3">
        <v>200</v>
      </c>
      <c r="O3" s="2">
        <v>45803.388541666667</v>
      </c>
    </row>
    <row r="4" spans="1:27" x14ac:dyDescent="0.35">
      <c r="A4" s="5" t="s">
        <v>104</v>
      </c>
      <c r="B4" t="s">
        <v>50</v>
      </c>
      <c r="C4" t="s">
        <v>51</v>
      </c>
      <c r="D4" t="s">
        <v>72</v>
      </c>
      <c r="E4" t="s">
        <v>29</v>
      </c>
      <c r="F4" t="s">
        <v>52</v>
      </c>
      <c r="G4" t="s">
        <v>53</v>
      </c>
      <c r="H4" t="s">
        <v>54</v>
      </c>
      <c r="I4">
        <v>200</v>
      </c>
      <c r="J4">
        <v>16</v>
      </c>
      <c r="K4">
        <v>0</v>
      </c>
      <c r="L4">
        <v>16.149999999999999</v>
      </c>
      <c r="M4">
        <v>0</v>
      </c>
      <c r="N4">
        <v>200</v>
      </c>
      <c r="O4" s="2">
        <v>45803.388622685183</v>
      </c>
    </row>
    <row r="5" spans="1:27" x14ac:dyDescent="0.35">
      <c r="A5" s="5" t="s">
        <v>105</v>
      </c>
      <c r="B5" t="s">
        <v>50</v>
      </c>
      <c r="C5" t="s">
        <v>51</v>
      </c>
      <c r="D5" t="s">
        <v>69</v>
      </c>
      <c r="E5" t="s">
        <v>29</v>
      </c>
      <c r="F5" t="s">
        <v>52</v>
      </c>
      <c r="G5" t="s">
        <v>53</v>
      </c>
      <c r="H5" t="s">
        <v>73</v>
      </c>
      <c r="I5">
        <v>100</v>
      </c>
      <c r="J5">
        <v>2</v>
      </c>
      <c r="K5">
        <v>0</v>
      </c>
      <c r="L5">
        <v>2</v>
      </c>
      <c r="M5">
        <v>0</v>
      </c>
      <c r="N5">
        <v>100</v>
      </c>
      <c r="O5" s="2">
        <v>45803.388738425929</v>
      </c>
    </row>
    <row r="6" spans="1:27" x14ac:dyDescent="0.35">
      <c r="A6" s="5" t="s">
        <v>106</v>
      </c>
      <c r="B6" t="s">
        <v>50</v>
      </c>
      <c r="C6" t="s">
        <v>51</v>
      </c>
      <c r="D6" t="s">
        <v>95</v>
      </c>
      <c r="E6" t="s">
        <v>29</v>
      </c>
      <c r="F6" t="s">
        <v>52</v>
      </c>
      <c r="G6" t="s">
        <v>53</v>
      </c>
      <c r="H6" t="s">
        <v>54</v>
      </c>
      <c r="I6">
        <v>100</v>
      </c>
      <c r="J6">
        <v>18.149999999999999</v>
      </c>
      <c r="K6">
        <v>0</v>
      </c>
      <c r="L6">
        <v>18.149999999999999</v>
      </c>
      <c r="M6">
        <v>0</v>
      </c>
      <c r="N6">
        <v>100</v>
      </c>
      <c r="O6" s="2">
        <v>45803.389548611114</v>
      </c>
    </row>
    <row r="7" spans="1:27" x14ac:dyDescent="0.35">
      <c r="A7" s="5" t="s">
        <v>107</v>
      </c>
      <c r="B7" t="s">
        <v>50</v>
      </c>
      <c r="C7" t="s">
        <v>51</v>
      </c>
      <c r="D7" t="s">
        <v>70</v>
      </c>
      <c r="E7" t="s">
        <v>29</v>
      </c>
      <c r="F7" t="s">
        <v>52</v>
      </c>
      <c r="G7" t="s">
        <v>53</v>
      </c>
      <c r="H7" t="s">
        <v>73</v>
      </c>
      <c r="I7">
        <v>300</v>
      </c>
      <c r="J7">
        <v>3.25</v>
      </c>
      <c r="K7">
        <v>0</v>
      </c>
      <c r="L7">
        <v>3.25</v>
      </c>
      <c r="M7">
        <v>0</v>
      </c>
      <c r="N7">
        <v>300</v>
      </c>
      <c r="O7" s="2">
        <v>45803.38958333333</v>
      </c>
    </row>
    <row r="8" spans="1:27" x14ac:dyDescent="0.35">
      <c r="A8" s="5" t="s">
        <v>108</v>
      </c>
      <c r="B8" t="s">
        <v>50</v>
      </c>
      <c r="C8" t="s">
        <v>51</v>
      </c>
      <c r="D8" t="s">
        <v>97</v>
      </c>
      <c r="E8" t="s">
        <v>31</v>
      </c>
      <c r="F8" t="s">
        <v>52</v>
      </c>
      <c r="G8" t="s">
        <v>53</v>
      </c>
      <c r="H8" t="s">
        <v>54</v>
      </c>
      <c r="I8">
        <v>300</v>
      </c>
      <c r="J8">
        <v>3.85</v>
      </c>
      <c r="K8">
        <v>0</v>
      </c>
      <c r="L8">
        <v>3.85</v>
      </c>
      <c r="M8">
        <v>0</v>
      </c>
      <c r="N8">
        <v>300</v>
      </c>
      <c r="O8" s="2">
        <v>45803.400023148148</v>
      </c>
    </row>
    <row r="9" spans="1:27" x14ac:dyDescent="0.35">
      <c r="A9" s="5" t="s">
        <v>109</v>
      </c>
      <c r="B9" t="s">
        <v>50</v>
      </c>
      <c r="C9" t="s">
        <v>51</v>
      </c>
      <c r="D9" t="s">
        <v>97</v>
      </c>
      <c r="E9" t="s">
        <v>31</v>
      </c>
      <c r="F9" t="s">
        <v>52</v>
      </c>
      <c r="G9" t="s">
        <v>53</v>
      </c>
      <c r="H9" t="s">
        <v>54</v>
      </c>
      <c r="I9">
        <v>300</v>
      </c>
      <c r="J9">
        <v>3.95</v>
      </c>
      <c r="K9">
        <v>0</v>
      </c>
      <c r="L9">
        <v>3.95</v>
      </c>
      <c r="M9">
        <v>0</v>
      </c>
      <c r="N9">
        <v>300</v>
      </c>
      <c r="O9" s="2">
        <v>45803.406805555554</v>
      </c>
    </row>
    <row r="10" spans="1:27" x14ac:dyDescent="0.35">
      <c r="A10" s="5" t="s">
        <v>110</v>
      </c>
      <c r="B10" t="s">
        <v>50</v>
      </c>
      <c r="C10" t="s">
        <v>51</v>
      </c>
      <c r="D10" t="s">
        <v>96</v>
      </c>
      <c r="E10" t="s">
        <v>29</v>
      </c>
      <c r="F10" t="s">
        <v>52</v>
      </c>
      <c r="G10" t="s">
        <v>53</v>
      </c>
      <c r="H10" t="s">
        <v>54</v>
      </c>
      <c r="I10">
        <v>100</v>
      </c>
      <c r="J10">
        <v>20.149999999999999</v>
      </c>
      <c r="K10">
        <v>0</v>
      </c>
      <c r="L10">
        <v>20.149999999999999</v>
      </c>
      <c r="M10">
        <v>0</v>
      </c>
      <c r="N10">
        <v>100</v>
      </c>
      <c r="O10" s="2">
        <v>45803.413148148145</v>
      </c>
    </row>
    <row r="11" spans="1:27" x14ac:dyDescent="0.35">
      <c r="A11" s="5" t="s">
        <v>111</v>
      </c>
      <c r="B11" t="s">
        <v>50</v>
      </c>
      <c r="C11" t="s">
        <v>51</v>
      </c>
      <c r="D11" t="s">
        <v>87</v>
      </c>
      <c r="E11" t="s">
        <v>29</v>
      </c>
      <c r="F11" t="s">
        <v>52</v>
      </c>
      <c r="G11" t="s">
        <v>53</v>
      </c>
      <c r="H11" t="s">
        <v>54</v>
      </c>
      <c r="I11">
        <v>20</v>
      </c>
      <c r="J11">
        <v>4.6500000000000004</v>
      </c>
      <c r="K11">
        <v>0</v>
      </c>
      <c r="L11">
        <v>4.6500000000000004</v>
      </c>
      <c r="M11">
        <v>0</v>
      </c>
      <c r="N11">
        <v>20</v>
      </c>
      <c r="O11" s="2">
        <v>45803.413159722222</v>
      </c>
    </row>
    <row r="12" spans="1:27" x14ac:dyDescent="0.35">
      <c r="A12" s="5" t="s">
        <v>112</v>
      </c>
      <c r="B12" t="s">
        <v>50</v>
      </c>
      <c r="C12" t="s">
        <v>51</v>
      </c>
      <c r="D12" t="s">
        <v>87</v>
      </c>
      <c r="E12" t="s">
        <v>29</v>
      </c>
      <c r="F12" t="s">
        <v>52</v>
      </c>
      <c r="G12" t="s">
        <v>53</v>
      </c>
      <c r="H12" t="s">
        <v>73</v>
      </c>
      <c r="I12">
        <v>120</v>
      </c>
      <c r="J12">
        <v>4.4000000000000004</v>
      </c>
      <c r="K12">
        <v>0</v>
      </c>
      <c r="L12">
        <v>4.4000000000000004</v>
      </c>
      <c r="M12">
        <v>0</v>
      </c>
      <c r="N12">
        <v>120</v>
      </c>
      <c r="O12" s="2">
        <v>45803.41333333333</v>
      </c>
    </row>
    <row r="13" spans="1:27" x14ac:dyDescent="0.35">
      <c r="A13" s="5" t="s">
        <v>113</v>
      </c>
      <c r="B13" t="s">
        <v>50</v>
      </c>
      <c r="C13" t="s">
        <v>51</v>
      </c>
      <c r="D13" t="s">
        <v>30</v>
      </c>
      <c r="E13" t="s">
        <v>31</v>
      </c>
      <c r="F13" t="s">
        <v>52</v>
      </c>
      <c r="G13" t="s">
        <v>53</v>
      </c>
      <c r="H13" t="s">
        <v>73</v>
      </c>
      <c r="I13">
        <v>90</v>
      </c>
      <c r="J13">
        <v>5.6</v>
      </c>
      <c r="K13">
        <v>0</v>
      </c>
      <c r="L13">
        <v>5.6</v>
      </c>
      <c r="M13">
        <v>0</v>
      </c>
      <c r="N13">
        <v>90</v>
      </c>
      <c r="O13" s="2">
        <v>45803.413460648146</v>
      </c>
    </row>
    <row r="14" spans="1:27" x14ac:dyDescent="0.35">
      <c r="A14" s="5" t="s">
        <v>114</v>
      </c>
      <c r="B14" t="s">
        <v>50</v>
      </c>
      <c r="C14" t="s">
        <v>51</v>
      </c>
      <c r="D14" t="s">
        <v>74</v>
      </c>
      <c r="E14" t="s">
        <v>38</v>
      </c>
      <c r="F14" t="s">
        <v>52</v>
      </c>
      <c r="G14" t="s">
        <v>75</v>
      </c>
      <c r="H14" t="s">
        <v>73</v>
      </c>
      <c r="I14">
        <v>10</v>
      </c>
      <c r="J14">
        <v>79.75</v>
      </c>
      <c r="K14">
        <v>0</v>
      </c>
      <c r="L14">
        <v>79.75</v>
      </c>
      <c r="M14">
        <v>0</v>
      </c>
      <c r="N14">
        <v>10</v>
      </c>
      <c r="O14" s="2">
        <v>45803.441724537035</v>
      </c>
    </row>
    <row r="15" spans="1:27" x14ac:dyDescent="0.35">
      <c r="A15" s="5" t="s">
        <v>115</v>
      </c>
      <c r="B15" t="s">
        <v>50</v>
      </c>
      <c r="C15" t="s">
        <v>116</v>
      </c>
      <c r="D15" t="s">
        <v>74</v>
      </c>
      <c r="E15" t="s">
        <v>38</v>
      </c>
      <c r="F15" t="s">
        <v>52</v>
      </c>
      <c r="G15" t="s">
        <v>75</v>
      </c>
      <c r="H15" t="s">
        <v>54</v>
      </c>
      <c r="I15">
        <v>10</v>
      </c>
      <c r="J15">
        <v>81.209999999999994</v>
      </c>
      <c r="K15">
        <v>0</v>
      </c>
      <c r="L15">
        <v>0</v>
      </c>
      <c r="M15">
        <v>10</v>
      </c>
      <c r="N15">
        <v>0</v>
      </c>
      <c r="O15" s="2">
        <v>45803.467002314814</v>
      </c>
    </row>
    <row r="16" spans="1:27" x14ac:dyDescent="0.35">
      <c r="A16" s="5" t="s">
        <v>117</v>
      </c>
      <c r="B16" t="s">
        <v>50</v>
      </c>
      <c r="C16" t="s">
        <v>80</v>
      </c>
      <c r="D16" t="s">
        <v>74</v>
      </c>
      <c r="E16" t="s">
        <v>38</v>
      </c>
      <c r="F16" t="s">
        <v>52</v>
      </c>
      <c r="G16" t="s">
        <v>75</v>
      </c>
      <c r="H16" t="s">
        <v>54</v>
      </c>
      <c r="I16">
        <v>1</v>
      </c>
      <c r="J16">
        <v>80.2</v>
      </c>
      <c r="K16">
        <v>0</v>
      </c>
      <c r="L16">
        <v>0</v>
      </c>
      <c r="M16">
        <v>1</v>
      </c>
      <c r="N16">
        <v>0</v>
      </c>
      <c r="O16" s="2">
        <v>45803.467361111114</v>
      </c>
    </row>
    <row r="17" spans="15:15" x14ac:dyDescent="0.35">
      <c r="O17" s="2"/>
    </row>
    <row r="18" spans="15:15" x14ac:dyDescent="0.35">
      <c r="O18" s="2"/>
    </row>
    <row r="19" spans="15:15" x14ac:dyDescent="0.35">
      <c r="O19" s="2"/>
    </row>
    <row r="20" spans="15:15" x14ac:dyDescent="0.35">
      <c r="O20" s="2"/>
    </row>
    <row r="21" spans="15:15" x14ac:dyDescent="0.35">
      <c r="O21" s="2"/>
    </row>
    <row r="22" spans="15:15" x14ac:dyDescent="0.35">
      <c r="O22" s="2"/>
    </row>
    <row r="23" spans="15:15" x14ac:dyDescent="0.35">
      <c r="O23" s="2"/>
    </row>
    <row r="24" spans="15:15" x14ac:dyDescent="0.35">
      <c r="O24" s="2"/>
    </row>
    <row r="25" spans="15:15" x14ac:dyDescent="0.35">
      <c r="O25" s="2"/>
    </row>
    <row r="26" spans="15:15" x14ac:dyDescent="0.35">
      <c r="O26" s="2"/>
    </row>
    <row r="27" spans="15:15" x14ac:dyDescent="0.35">
      <c r="O27" s="2"/>
    </row>
    <row r="28" spans="15:15" x14ac:dyDescent="0.35">
      <c r="O28" s="2"/>
    </row>
    <row r="29" spans="15:15" x14ac:dyDescent="0.35">
      <c r="O29" s="2"/>
    </row>
    <row r="30" spans="15:15" x14ac:dyDescent="0.35">
      <c r="O30" s="2"/>
    </row>
    <row r="31" spans="15:15" x14ac:dyDescent="0.35">
      <c r="O31" s="2"/>
    </row>
    <row r="32" spans="15:15" x14ac:dyDescent="0.35">
      <c r="O32" s="2"/>
    </row>
    <row r="33" spans="15:15" x14ac:dyDescent="0.35">
      <c r="O33" s="2"/>
    </row>
    <row r="34" spans="15:15" x14ac:dyDescent="0.35">
      <c r="O34" s="2"/>
    </row>
    <row r="35" spans="15:15" x14ac:dyDescent="0.35">
      <c r="O3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odifyThisRow_Orders">
                <anchor moveWithCells="1" sizeWithCells="1">
                  <from>
                    <xdr:col>20</xdr:col>
                    <xdr:colOff>533400</xdr:colOff>
                    <xdr:row>22</xdr:row>
                    <xdr:rowOff>95250</xdr:rowOff>
                  </from>
                  <to>
                    <xdr:col>23</xdr:col>
                    <xdr:colOff>107950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ancelThisRow_Orders">
                <anchor moveWithCells="1" sizeWithCells="1">
                  <from>
                    <xdr:col>20</xdr:col>
                    <xdr:colOff>527050</xdr:colOff>
                    <xdr:row>24</xdr:row>
                    <xdr:rowOff>76200</xdr:rowOff>
                  </from>
                  <to>
                    <xdr:col>23</xdr:col>
                    <xdr:colOff>69850</xdr:colOff>
                    <xdr:row>26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Y25"/>
  <sheetViews>
    <sheetView zoomScale="85" zoomScaleNormal="85" workbookViewId="0">
      <selection activeCell="A12" sqref="A12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4.81640625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</cols>
  <sheetData>
    <row r="1" spans="1:25" ht="30" customHeight="1" x14ac:dyDescent="0.35">
      <c r="A1" s="3" t="s">
        <v>0</v>
      </c>
      <c r="B1" s="3" t="s">
        <v>59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60</v>
      </c>
      <c r="I1" s="3" t="s">
        <v>18</v>
      </c>
      <c r="J1" s="3" t="s">
        <v>61</v>
      </c>
      <c r="K1" s="3" t="s">
        <v>62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63</v>
      </c>
      <c r="Q1" s="3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</row>
    <row r="2" spans="1:25" x14ac:dyDescent="0.35">
      <c r="A2" t="s">
        <v>89</v>
      </c>
      <c r="B2">
        <v>0</v>
      </c>
      <c r="C2">
        <v>0</v>
      </c>
      <c r="D2">
        <v>104.3</v>
      </c>
      <c r="E2">
        <v>103.65</v>
      </c>
      <c r="F2">
        <v>103.65</v>
      </c>
      <c r="G2">
        <v>0</v>
      </c>
      <c r="I2">
        <v>103.65</v>
      </c>
      <c r="J2">
        <v>105</v>
      </c>
      <c r="K2">
        <v>103.65</v>
      </c>
      <c r="P2" s="2"/>
      <c r="Q2" s="2"/>
      <c r="R2" s="2">
        <v>45803.482858796298</v>
      </c>
    </row>
    <row r="3" spans="1:25" x14ac:dyDescent="0.35">
      <c r="A3" t="s">
        <v>76</v>
      </c>
      <c r="B3">
        <v>0</v>
      </c>
      <c r="C3">
        <v>104.2</v>
      </c>
      <c r="D3">
        <v>104.2</v>
      </c>
      <c r="E3">
        <v>104.2</v>
      </c>
      <c r="F3">
        <v>104.2</v>
      </c>
      <c r="G3">
        <v>50</v>
      </c>
      <c r="I3">
        <v>104.52</v>
      </c>
      <c r="J3">
        <v>105.06</v>
      </c>
      <c r="K3">
        <v>104.5</v>
      </c>
      <c r="P3" s="2"/>
      <c r="Q3" s="2"/>
      <c r="R3" s="2">
        <v>45803.482858796298</v>
      </c>
    </row>
    <row r="4" spans="1:25" x14ac:dyDescent="0.35">
      <c r="A4" t="s">
        <v>90</v>
      </c>
      <c r="B4">
        <v>0</v>
      </c>
      <c r="C4">
        <v>79.58</v>
      </c>
      <c r="D4">
        <v>79.98</v>
      </c>
      <c r="E4">
        <v>79.58</v>
      </c>
      <c r="F4">
        <v>79.7</v>
      </c>
      <c r="G4">
        <v>1024009</v>
      </c>
      <c r="I4">
        <v>79.680000000000007</v>
      </c>
      <c r="J4">
        <v>79.7</v>
      </c>
      <c r="K4">
        <v>79.540000000000006</v>
      </c>
      <c r="P4" s="2"/>
      <c r="Q4" s="2"/>
      <c r="R4" s="2">
        <v>45803.482858796298</v>
      </c>
    </row>
    <row r="5" spans="1:25" x14ac:dyDescent="0.35">
      <c r="A5" t="s">
        <v>91</v>
      </c>
      <c r="B5">
        <v>0</v>
      </c>
      <c r="C5">
        <v>9350</v>
      </c>
      <c r="D5">
        <v>9381</v>
      </c>
      <c r="E5">
        <v>9349</v>
      </c>
      <c r="F5">
        <v>9380</v>
      </c>
      <c r="G5">
        <v>583</v>
      </c>
      <c r="I5">
        <v>9366.0499999999993</v>
      </c>
      <c r="J5">
        <v>9380</v>
      </c>
      <c r="K5">
        <v>9350.3700000000008</v>
      </c>
      <c r="P5" s="2"/>
      <c r="R5" s="2">
        <v>45803.482858796298</v>
      </c>
    </row>
    <row r="6" spans="1:25" x14ac:dyDescent="0.35">
      <c r="A6" t="s">
        <v>92</v>
      </c>
      <c r="B6">
        <v>-300</v>
      </c>
      <c r="C6">
        <v>30.95</v>
      </c>
      <c r="D6">
        <v>30.95</v>
      </c>
      <c r="E6">
        <v>10.3</v>
      </c>
      <c r="F6">
        <v>17.649999999999999</v>
      </c>
      <c r="G6">
        <v>7940260</v>
      </c>
      <c r="I6">
        <v>17.5</v>
      </c>
      <c r="J6">
        <v>17.600000000000001</v>
      </c>
      <c r="K6">
        <v>40.950000000000003</v>
      </c>
      <c r="P6" s="2"/>
      <c r="R6" s="2">
        <v>45803.482858796298</v>
      </c>
    </row>
    <row r="7" spans="1:25" x14ac:dyDescent="0.35">
      <c r="A7" t="s">
        <v>93</v>
      </c>
      <c r="B7">
        <v>-100</v>
      </c>
      <c r="C7">
        <v>49</v>
      </c>
      <c r="D7">
        <v>74.2</v>
      </c>
      <c r="E7">
        <v>18.899999999999999</v>
      </c>
      <c r="F7">
        <v>40.5</v>
      </c>
      <c r="G7">
        <v>16578200</v>
      </c>
      <c r="I7">
        <v>40.450000000000003</v>
      </c>
      <c r="J7">
        <v>40.65</v>
      </c>
      <c r="K7">
        <v>74.2</v>
      </c>
      <c r="P7" s="2"/>
      <c r="R7" s="2">
        <v>45803.482858796298</v>
      </c>
    </row>
    <row r="8" spans="1:25" x14ac:dyDescent="0.35">
      <c r="A8" t="s">
        <v>77</v>
      </c>
      <c r="B8">
        <v>-500</v>
      </c>
      <c r="C8">
        <v>8.4</v>
      </c>
      <c r="D8">
        <v>24</v>
      </c>
      <c r="E8">
        <v>5.6</v>
      </c>
      <c r="F8">
        <v>12.25</v>
      </c>
      <c r="G8">
        <v>11576020</v>
      </c>
      <c r="I8">
        <v>12.15</v>
      </c>
      <c r="J8">
        <v>12.25</v>
      </c>
      <c r="K8">
        <v>8.4499999999999993</v>
      </c>
      <c r="P8" s="2"/>
      <c r="R8" s="2">
        <v>45803.482858796298</v>
      </c>
    </row>
    <row r="9" spans="1:25" x14ac:dyDescent="0.35">
      <c r="A9" t="s">
        <v>94</v>
      </c>
      <c r="B9">
        <v>-600</v>
      </c>
      <c r="C9">
        <v>5.2</v>
      </c>
      <c r="D9">
        <v>5.5</v>
      </c>
      <c r="E9">
        <v>3.6</v>
      </c>
      <c r="F9">
        <v>4.5999999999999996</v>
      </c>
      <c r="G9">
        <v>19557300</v>
      </c>
      <c r="I9">
        <v>4.5999999999999996</v>
      </c>
      <c r="J9">
        <v>4.6500000000000004</v>
      </c>
      <c r="K9">
        <v>6.9</v>
      </c>
      <c r="P9" s="2"/>
      <c r="R9" s="2">
        <v>45803.482858796298</v>
      </c>
    </row>
    <row r="10" spans="1:25" x14ac:dyDescent="0.35">
      <c r="A10" t="s">
        <v>78</v>
      </c>
      <c r="B10">
        <v>-600</v>
      </c>
      <c r="C10">
        <v>2.9</v>
      </c>
      <c r="D10">
        <v>7.4</v>
      </c>
      <c r="E10">
        <v>2.65</v>
      </c>
      <c r="F10">
        <v>5.15</v>
      </c>
      <c r="G10">
        <v>36005250</v>
      </c>
      <c r="I10">
        <v>5.0999999999999996</v>
      </c>
      <c r="J10">
        <v>5.15</v>
      </c>
      <c r="K10">
        <v>3.05</v>
      </c>
      <c r="P10" s="2"/>
      <c r="R10" s="2">
        <v>45803.482858796298</v>
      </c>
    </row>
    <row r="11" spans="1:25" x14ac:dyDescent="0.35">
      <c r="A11" t="s">
        <v>79</v>
      </c>
      <c r="B11">
        <v>10</v>
      </c>
      <c r="C11">
        <v>79.510000000000005</v>
      </c>
      <c r="D11">
        <v>80.55</v>
      </c>
      <c r="E11">
        <v>79.5</v>
      </c>
      <c r="F11">
        <v>79.69</v>
      </c>
      <c r="G11">
        <v>4577331</v>
      </c>
      <c r="I11">
        <v>79.680000000000007</v>
      </c>
      <c r="J11">
        <v>79.69</v>
      </c>
      <c r="K11">
        <v>79.510000000000005</v>
      </c>
      <c r="P11" s="2"/>
      <c r="R11" s="2">
        <v>45803.482858796298</v>
      </c>
    </row>
    <row r="12" spans="1:25" x14ac:dyDescent="0.35">
      <c r="P12" s="2"/>
      <c r="R12" s="2"/>
    </row>
    <row r="13" spans="1:25" x14ac:dyDescent="0.35">
      <c r="P13" s="2"/>
      <c r="R13" s="2"/>
    </row>
    <row r="14" spans="1:25" x14ac:dyDescent="0.35">
      <c r="P14" s="2"/>
    </row>
    <row r="15" spans="1:25" x14ac:dyDescent="0.35">
      <c r="P15" s="2"/>
    </row>
    <row r="16" spans="1:25" x14ac:dyDescent="0.35">
      <c r="P16" s="2"/>
    </row>
    <row r="17" spans="16:16" x14ac:dyDescent="0.35">
      <c r="P17" s="2"/>
    </row>
    <row r="18" spans="16:16" x14ac:dyDescent="0.35">
      <c r="P18" s="2"/>
    </row>
    <row r="19" spans="16:16" x14ac:dyDescent="0.35">
      <c r="P19" s="2"/>
    </row>
    <row r="20" spans="16:16" x14ac:dyDescent="0.35">
      <c r="P20" s="2"/>
    </row>
    <row r="21" spans="16:16" x14ac:dyDescent="0.35">
      <c r="P21" s="2"/>
    </row>
    <row r="22" spans="16:16" x14ac:dyDescent="0.35">
      <c r="P22" s="2"/>
    </row>
    <row r="23" spans="16:16" x14ac:dyDescent="0.35">
      <c r="P23" s="2"/>
    </row>
    <row r="24" spans="16:16" x14ac:dyDescent="0.35">
      <c r="P24" s="2"/>
    </row>
    <row r="25" spans="16:16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oggleAutomation">
                <anchor moveWithCells="1" sizeWithCells="1">
                  <from>
                    <xdr:col>25</xdr:col>
                    <xdr:colOff>50800</xdr:colOff>
                    <xdr:row>1</xdr:row>
                    <xdr:rowOff>120650</xdr:rowOff>
                  </from>
                  <to>
                    <xdr:col>27</xdr:col>
                    <xdr:colOff>431800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nualFire">
                <anchor moveWithCells="1" sizeWithCells="1">
                  <from>
                    <xdr:col>25</xdr:col>
                    <xdr:colOff>82550</xdr:colOff>
                    <xdr:row>4</xdr:row>
                    <xdr:rowOff>177800</xdr:rowOff>
                  </from>
                  <to>
                    <xdr:col>27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2025-05-26T06:31:24Z</dcterms:modified>
</cp:coreProperties>
</file>